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autoCompressPictures="0"/>
  <mc:AlternateContent xmlns:mc="http://schemas.openxmlformats.org/markup-compatibility/2006">
    <mc:Choice Requires="x15">
      <x15ac:absPath xmlns:x15ac="http://schemas.microsoft.com/office/spreadsheetml/2010/11/ac" url="/Volumes/RIN/НИС Проекты/"/>
    </mc:Choice>
  </mc:AlternateContent>
  <xr:revisionPtr revIDLastSave="0" documentId="13_ncr:1_{BC846745-1818-6E42-9F0B-9D1D84621F36}" xr6:coauthVersionLast="47" xr6:coauthVersionMax="47" xr10:uidLastSave="{00000000-0000-0000-0000-000000000000}"/>
  <bookViews>
    <workbookView xWindow="0" yWindow="680" windowWidth="29400" windowHeight="16240" activeTab="1" xr2:uid="{00000000-000D-0000-FFFF-FFFF00000000}"/>
  </bookViews>
  <sheets>
    <sheet name="ДИ для доли" sheetId="1" r:id="rId1"/>
    <sheet name="ДИ для среднего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1" i="2" l="1"/>
  <c r="F42" i="2"/>
  <c r="F43" i="2"/>
  <c r="F44" i="2"/>
  <c r="F45" i="2"/>
  <c r="F46" i="2"/>
  <c r="F41" i="2"/>
  <c r="E42" i="2"/>
  <c r="E43" i="2"/>
  <c r="E44" i="2"/>
  <c r="E45" i="2"/>
  <c r="E46" i="2"/>
  <c r="F31" i="2"/>
  <c r="F32" i="2"/>
  <c r="F33" i="2"/>
  <c r="F34" i="2"/>
  <c r="F35" i="2"/>
  <c r="E31" i="2"/>
  <c r="E32" i="2"/>
  <c r="E33" i="2"/>
  <c r="E34" i="2"/>
  <c r="E35" i="2"/>
  <c r="F30" i="2"/>
  <c r="E30" i="2"/>
  <c r="F20" i="2"/>
  <c r="F21" i="2"/>
  <c r="F22" i="2"/>
  <c r="F23" i="2"/>
  <c r="F24" i="2"/>
  <c r="F19" i="2"/>
  <c r="E20" i="2"/>
  <c r="E21" i="2"/>
  <c r="E22" i="2"/>
  <c r="E23" i="2"/>
  <c r="E24" i="2"/>
  <c r="E19" i="2"/>
  <c r="C27" i="1"/>
  <c r="E27" i="1" s="1"/>
  <c r="I27" i="1" s="1"/>
  <c r="C26" i="1"/>
  <c r="E26" i="1" s="1"/>
  <c r="C25" i="1"/>
  <c r="E25" i="1" s="1"/>
  <c r="I25" i="1" s="1"/>
  <c r="C24" i="1"/>
  <c r="E24" i="1" s="1"/>
  <c r="C23" i="1"/>
  <c r="E23" i="1" s="1"/>
  <c r="I23" i="1" s="1"/>
  <c r="C22" i="1"/>
  <c r="E22" i="1" s="1"/>
  <c r="C49" i="1"/>
  <c r="I49" i="1" s="1"/>
  <c r="C48" i="1"/>
  <c r="C47" i="1"/>
  <c r="E47" i="1" s="1"/>
  <c r="H47" i="1" s="1"/>
  <c r="C46" i="1"/>
  <c r="C45" i="1"/>
  <c r="E45" i="1" s="1"/>
  <c r="C44" i="1"/>
  <c r="C34" i="1"/>
  <c r="E34" i="1"/>
  <c r="I34" i="1" s="1"/>
  <c r="C35" i="1"/>
  <c r="E35" i="1" s="1"/>
  <c r="H35" i="1" s="1"/>
  <c r="C36" i="1"/>
  <c r="E36" i="1"/>
  <c r="H36" i="1" s="1"/>
  <c r="C37" i="1"/>
  <c r="C38" i="1"/>
  <c r="C33" i="1"/>
  <c r="E33" i="1" s="1"/>
  <c r="E37" i="1"/>
  <c r="I37" i="1" s="1"/>
  <c r="E44" i="1"/>
  <c r="I44" i="1" s="1"/>
  <c r="E46" i="1"/>
  <c r="I46" i="1" s="1"/>
  <c r="E48" i="1"/>
  <c r="H48" i="1" s="1"/>
  <c r="E49" i="1"/>
  <c r="H44" i="1"/>
  <c r="I45" i="1" l="1"/>
  <c r="H45" i="1"/>
  <c r="I33" i="1"/>
  <c r="H33" i="1"/>
  <c r="H26" i="1"/>
  <c r="H22" i="1"/>
  <c r="H24" i="1"/>
  <c r="I47" i="1"/>
  <c r="I22" i="1"/>
  <c r="I24" i="1"/>
  <c r="I26" i="1"/>
  <c r="I48" i="1"/>
  <c r="E38" i="1"/>
  <c r="H38" i="1" s="1"/>
  <c r="I36" i="1"/>
  <c r="H46" i="1"/>
  <c r="H49" i="1"/>
  <c r="H37" i="1"/>
  <c r="H34" i="1"/>
  <c r="I35" i="1"/>
  <c r="H23" i="1"/>
  <c r="H25" i="1"/>
  <c r="H27" i="1"/>
  <c r="I38" i="1" l="1"/>
</calcChain>
</file>

<file path=xl/sharedStrings.xml><?xml version="1.0" encoding="utf-8"?>
<sst xmlns="http://schemas.openxmlformats.org/spreadsheetml/2006/main" count="55" uniqueCount="25">
  <si>
    <t>доверительая вероятность и уровень значимости в сумме равна 1</t>
  </si>
  <si>
    <t>ДВ будет указана в условии</t>
  </si>
  <si>
    <t>Формула доверительного интервала:</t>
  </si>
  <si>
    <t>для доли</t>
  </si>
  <si>
    <t>t(90%)=1,64</t>
  </si>
  <si>
    <t>t(95%)=1,96</t>
  </si>
  <si>
    <t>t(99%)=2,58</t>
  </si>
  <si>
    <t>S.E.=((P(выб)*(1-P(выб))/N)^0,5</t>
  </si>
  <si>
    <t>ПРОЦЕНТ</t>
  </si>
  <si>
    <t>ВЫБОРОЧНАЯ ДОЛЯ</t>
  </si>
  <si>
    <t>S.E.</t>
  </si>
  <si>
    <t>N (опр/отв)</t>
  </si>
  <si>
    <t>t(95%)</t>
  </si>
  <si>
    <t>верхняя гран</t>
  </si>
  <si>
    <t>нижняя гран</t>
  </si>
  <si>
    <t>t(99%)</t>
  </si>
  <si>
    <t>t(90%)</t>
  </si>
  <si>
    <t>P(выборочная)=Х</t>
  </si>
  <si>
    <t>Х+/-t*S.E.</t>
  </si>
  <si>
    <t>для среднего</t>
  </si>
  <si>
    <t>Среднее=Хср</t>
  </si>
  <si>
    <t>Хср+/-t*S.E.</t>
  </si>
  <si>
    <t>S.E. = √(S2/N)</t>
  </si>
  <si>
    <t>Xср</t>
  </si>
  <si>
    <t>S.E. Можно найти в СПСС в частотах и описательных статистиках (в зависимости от версии)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</si>
</sst>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5" formatCode="###0.0"/>
    <numFmt numFmtId="166" formatCode="0.000"/>
    <numFmt numFmtId="167" formatCode="0.0%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9"/>
      <color indexed="8"/>
      <name val="Arial"/>
      <family val="2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2"/>
    <xf numFmtId="165" fontId="3" fillId="0" borderId="1" xfId="2" applyNumberFormat="1" applyFont="1" applyBorder="1" applyAlignment="1">
      <alignment horizontal="right" vertical="center"/>
    </xf>
    <xf numFmtId="164" fontId="3" fillId="0" borderId="2" xfId="2" applyNumberFormat="1" applyFont="1" applyBorder="1" applyAlignment="1">
      <alignment horizontal="right" vertical="center"/>
    </xf>
    <xf numFmtId="165" fontId="3" fillId="0" borderId="3" xfId="2" applyNumberFormat="1" applyFont="1" applyBorder="1" applyAlignment="1">
      <alignment horizontal="right" vertical="center"/>
    </xf>
    <xf numFmtId="166" fontId="0" fillId="0" borderId="0" xfId="0" applyNumberFormat="1"/>
    <xf numFmtId="167" fontId="0" fillId="0" borderId="0" xfId="1" applyNumberFormat="1" applyFont="1"/>
    <xf numFmtId="165" fontId="3" fillId="0" borderId="0" xfId="2" applyNumberFormat="1" applyFont="1" applyAlignment="1">
      <alignment horizontal="right" vertical="center"/>
    </xf>
    <xf numFmtId="164" fontId="3" fillId="0" borderId="0" xfId="2" applyNumberFormat="1" applyFont="1" applyAlignment="1">
      <alignment horizontal="right" vertical="center"/>
    </xf>
    <xf numFmtId="0" fontId="0" fillId="0" borderId="0" xfId="1" applyNumberFormat="1" applyFont="1"/>
  </cellXfs>
  <cellStyles count="5">
    <cellStyle name="Гиперссылка" xfId="3" builtinId="8" hidden="1"/>
    <cellStyle name="Обычный" xfId="0" builtinId="0"/>
    <cellStyle name="Обычный_Лист1" xfId="2" xr:uid="{00000000-0005-0000-0000-000002000000}"/>
    <cellStyle name="Открывавшаяся гиперссылка" xfId="4" builtinId="9" hidden="1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zoomScaleNormal="70" zoomScalePageLayoutView="70" workbookViewId="0">
      <selection activeCell="B22" sqref="B22"/>
    </sheetView>
  </sheetViews>
  <sheetFormatPr baseColWidth="10" defaultColWidth="14.33203125" defaultRowHeight="15" x14ac:dyDescent="0.2"/>
  <sheetData>
    <row r="1" spans="1:5" ht="15" customHeight="1" x14ac:dyDescent="0.2">
      <c r="A1" s="1"/>
    </row>
    <row r="2" spans="1:5" x14ac:dyDescent="0.2">
      <c r="A2" s="1"/>
    </row>
    <row r="3" spans="1:5" x14ac:dyDescent="0.2">
      <c r="A3" s="1"/>
    </row>
    <row r="4" spans="1:5" x14ac:dyDescent="0.2">
      <c r="A4" s="1"/>
    </row>
    <row r="5" spans="1:5" x14ac:dyDescent="0.2">
      <c r="A5" s="1"/>
      <c r="B5" t="s">
        <v>0</v>
      </c>
    </row>
    <row r="6" spans="1:5" x14ac:dyDescent="0.2">
      <c r="A6" s="1"/>
      <c r="B6" t="s">
        <v>1</v>
      </c>
    </row>
    <row r="7" spans="1:5" x14ac:dyDescent="0.2">
      <c r="A7" s="1"/>
    </row>
    <row r="8" spans="1:5" x14ac:dyDescent="0.2">
      <c r="A8" s="1"/>
    </row>
    <row r="9" spans="1:5" x14ac:dyDescent="0.2">
      <c r="A9" s="1"/>
      <c r="B9" t="s">
        <v>2</v>
      </c>
    </row>
    <row r="10" spans="1:5" x14ac:dyDescent="0.2">
      <c r="A10" s="1"/>
      <c r="E10" t="s">
        <v>3</v>
      </c>
    </row>
    <row r="11" spans="1:5" x14ac:dyDescent="0.2">
      <c r="A11" s="1"/>
      <c r="B11" t="s">
        <v>17</v>
      </c>
    </row>
    <row r="12" spans="1:5" x14ac:dyDescent="0.2">
      <c r="A12" s="1"/>
      <c r="B12" t="s">
        <v>18</v>
      </c>
      <c r="C12" t="s">
        <v>7</v>
      </c>
    </row>
    <row r="13" spans="1:5" x14ac:dyDescent="0.2">
      <c r="A13" s="1"/>
      <c r="B13" t="s">
        <v>4</v>
      </c>
    </row>
    <row r="14" spans="1:5" x14ac:dyDescent="0.2">
      <c r="A14" s="1"/>
      <c r="B14" t="s">
        <v>5</v>
      </c>
    </row>
    <row r="15" spans="1:5" x14ac:dyDescent="0.2">
      <c r="A15" s="1"/>
      <c r="B15" t="s">
        <v>6</v>
      </c>
    </row>
    <row r="16" spans="1:5" x14ac:dyDescent="0.2">
      <c r="A16" s="1"/>
    </row>
    <row r="21" spans="2:9" ht="16" thickBot="1" x14ac:dyDescent="0.25">
      <c r="B21" t="s">
        <v>8</v>
      </c>
      <c r="C21" t="s">
        <v>9</v>
      </c>
      <c r="E21" t="s">
        <v>10</v>
      </c>
      <c r="F21" t="s">
        <v>11</v>
      </c>
      <c r="G21" t="s">
        <v>16</v>
      </c>
      <c r="H21" t="s">
        <v>14</v>
      </c>
      <c r="I21" t="s">
        <v>13</v>
      </c>
    </row>
    <row r="22" spans="2:9" ht="16" thickTop="1" x14ac:dyDescent="0.2">
      <c r="B22" s="2">
        <v>0</v>
      </c>
      <c r="C22" s="5">
        <f>B22/100</f>
        <v>0</v>
      </c>
      <c r="E22" t="e">
        <f>(C22*(1-C22)/F22)^0.5</f>
        <v>#DIV/0!</v>
      </c>
      <c r="F22" s="3">
        <v>0</v>
      </c>
      <c r="G22">
        <v>1.64</v>
      </c>
      <c r="H22" s="6" t="e">
        <f>C22-G22*E22</f>
        <v>#DIV/0!</v>
      </c>
      <c r="I22" s="6" t="e">
        <f>C22+G22*E22</f>
        <v>#DIV/0!</v>
      </c>
    </row>
    <row r="23" spans="2:9" x14ac:dyDescent="0.2">
      <c r="B23" s="4">
        <v>0</v>
      </c>
      <c r="C23" s="5">
        <f t="shared" ref="C23:C27" si="0">B23/100</f>
        <v>0</v>
      </c>
      <c r="E23" t="e">
        <f t="shared" ref="E23:E27" si="1">(C23*(1-C23)/F23)^0.5</f>
        <v>#DIV/0!</v>
      </c>
      <c r="F23" s="3">
        <v>0</v>
      </c>
      <c r="G23">
        <v>1.64</v>
      </c>
      <c r="H23" s="6" t="e">
        <f t="shared" ref="H23:H27" si="2">C23-G23*E23</f>
        <v>#DIV/0!</v>
      </c>
      <c r="I23" s="6" t="e">
        <f t="shared" ref="I23:I27" si="3">C23+G23*E23</f>
        <v>#DIV/0!</v>
      </c>
    </row>
    <row r="24" spans="2:9" x14ac:dyDescent="0.2">
      <c r="B24" s="4">
        <v>0</v>
      </c>
      <c r="C24" s="5">
        <f t="shared" si="0"/>
        <v>0</v>
      </c>
      <c r="E24" t="e">
        <f t="shared" si="1"/>
        <v>#DIV/0!</v>
      </c>
      <c r="F24" s="3">
        <v>0</v>
      </c>
      <c r="G24">
        <v>1.64</v>
      </c>
      <c r="H24" s="6" t="e">
        <f t="shared" si="2"/>
        <v>#DIV/0!</v>
      </c>
      <c r="I24" s="6" t="e">
        <f t="shared" si="3"/>
        <v>#DIV/0!</v>
      </c>
    </row>
    <row r="25" spans="2:9" x14ac:dyDescent="0.2">
      <c r="B25" s="4">
        <v>0</v>
      </c>
      <c r="C25" s="5">
        <f t="shared" si="0"/>
        <v>0</v>
      </c>
      <c r="E25" t="e">
        <f t="shared" si="1"/>
        <v>#DIV/0!</v>
      </c>
      <c r="F25" s="3">
        <v>0</v>
      </c>
      <c r="G25">
        <v>1.64</v>
      </c>
      <c r="H25" s="6" t="e">
        <f t="shared" si="2"/>
        <v>#DIV/0!</v>
      </c>
      <c r="I25" s="6" t="e">
        <f t="shared" si="3"/>
        <v>#DIV/0!</v>
      </c>
    </row>
    <row r="26" spans="2:9" x14ac:dyDescent="0.2">
      <c r="B26" s="4">
        <v>0</v>
      </c>
      <c r="C26" s="5">
        <f t="shared" si="0"/>
        <v>0</v>
      </c>
      <c r="E26" t="e">
        <f t="shared" si="1"/>
        <v>#DIV/0!</v>
      </c>
      <c r="F26" s="3">
        <v>0</v>
      </c>
      <c r="G26">
        <v>1.64</v>
      </c>
      <c r="H26" s="6" t="e">
        <f t="shared" si="2"/>
        <v>#DIV/0!</v>
      </c>
      <c r="I26" s="6" t="e">
        <f t="shared" si="3"/>
        <v>#DIV/0!</v>
      </c>
    </row>
    <row r="27" spans="2:9" x14ac:dyDescent="0.2">
      <c r="B27" s="4">
        <v>0</v>
      </c>
      <c r="C27" s="5">
        <f t="shared" si="0"/>
        <v>0</v>
      </c>
      <c r="E27" t="e">
        <f t="shared" si="1"/>
        <v>#DIV/0!</v>
      </c>
      <c r="F27" s="3">
        <v>0</v>
      </c>
      <c r="G27">
        <v>1.64</v>
      </c>
      <c r="H27" s="6" t="e">
        <f t="shared" si="2"/>
        <v>#DIV/0!</v>
      </c>
      <c r="I27" s="6" t="e">
        <f t="shared" si="3"/>
        <v>#DIV/0!</v>
      </c>
    </row>
    <row r="28" spans="2:9" x14ac:dyDescent="0.2">
      <c r="F28" s="3"/>
    </row>
    <row r="32" spans="2:9" ht="16" thickBot="1" x14ac:dyDescent="0.25">
      <c r="B32" t="s">
        <v>8</v>
      </c>
      <c r="C32" t="s">
        <v>9</v>
      </c>
      <c r="E32" t="s">
        <v>10</v>
      </c>
      <c r="F32" t="s">
        <v>11</v>
      </c>
      <c r="G32" t="s">
        <v>12</v>
      </c>
      <c r="H32" t="s">
        <v>14</v>
      </c>
      <c r="I32" t="s">
        <v>13</v>
      </c>
    </row>
    <row r="33" spans="2:9" ht="16" thickTop="1" x14ac:dyDescent="0.2">
      <c r="B33" s="2">
        <v>0</v>
      </c>
      <c r="C33" s="5">
        <f>B33/100</f>
        <v>0</v>
      </c>
      <c r="E33" t="e">
        <f>(C33*(1-C33)/F33)^0.5</f>
        <v>#DIV/0!</v>
      </c>
      <c r="F33" s="3">
        <v>0</v>
      </c>
      <c r="G33">
        <v>1.96</v>
      </c>
      <c r="H33" s="6" t="e">
        <f>C33-G33*E33</f>
        <v>#DIV/0!</v>
      </c>
      <c r="I33" s="6" t="e">
        <f>C33+G33*E33</f>
        <v>#DIV/0!</v>
      </c>
    </row>
    <row r="34" spans="2:9" x14ac:dyDescent="0.2">
      <c r="B34" s="4">
        <v>0</v>
      </c>
      <c r="C34" s="5">
        <f t="shared" ref="C34:C38" si="4">B34/100</f>
        <v>0</v>
      </c>
      <c r="E34" t="e">
        <f t="shared" ref="E34:E38" si="5">(C34*(1-C34)/F34)^0.5</f>
        <v>#DIV/0!</v>
      </c>
      <c r="F34" s="3">
        <v>0</v>
      </c>
      <c r="G34">
        <v>1.96</v>
      </c>
      <c r="H34" s="6" t="e">
        <f t="shared" ref="H34:H38" si="6">C34-G34*E34</f>
        <v>#DIV/0!</v>
      </c>
      <c r="I34" s="6" t="e">
        <f t="shared" ref="I34:I38" si="7">C34+G34*E34</f>
        <v>#DIV/0!</v>
      </c>
    </row>
    <row r="35" spans="2:9" x14ac:dyDescent="0.2">
      <c r="B35" s="4">
        <v>0</v>
      </c>
      <c r="C35" s="5">
        <f t="shared" si="4"/>
        <v>0</v>
      </c>
      <c r="E35" t="e">
        <f t="shared" si="5"/>
        <v>#DIV/0!</v>
      </c>
      <c r="F35" s="3">
        <v>0</v>
      </c>
      <c r="G35">
        <v>1.96</v>
      </c>
      <c r="H35" s="6" t="e">
        <f t="shared" si="6"/>
        <v>#DIV/0!</v>
      </c>
      <c r="I35" s="6" t="e">
        <f t="shared" si="7"/>
        <v>#DIV/0!</v>
      </c>
    </row>
    <row r="36" spans="2:9" x14ac:dyDescent="0.2">
      <c r="B36" s="4">
        <v>0</v>
      </c>
      <c r="C36" s="5">
        <f t="shared" si="4"/>
        <v>0</v>
      </c>
      <c r="E36" t="e">
        <f t="shared" si="5"/>
        <v>#DIV/0!</v>
      </c>
      <c r="F36" s="3">
        <v>0</v>
      </c>
      <c r="G36">
        <v>1.96</v>
      </c>
      <c r="H36" s="6" t="e">
        <f t="shared" si="6"/>
        <v>#DIV/0!</v>
      </c>
      <c r="I36" s="6" t="e">
        <f t="shared" si="7"/>
        <v>#DIV/0!</v>
      </c>
    </row>
    <row r="37" spans="2:9" x14ac:dyDescent="0.2">
      <c r="B37" s="4">
        <v>0</v>
      </c>
      <c r="C37" s="5">
        <f t="shared" si="4"/>
        <v>0</v>
      </c>
      <c r="E37" t="e">
        <f t="shared" si="5"/>
        <v>#DIV/0!</v>
      </c>
      <c r="F37" s="3">
        <v>0</v>
      </c>
      <c r="G37">
        <v>1.96</v>
      </c>
      <c r="H37" s="6" t="e">
        <f t="shared" si="6"/>
        <v>#DIV/0!</v>
      </c>
      <c r="I37" s="6" t="e">
        <f t="shared" si="7"/>
        <v>#DIV/0!</v>
      </c>
    </row>
    <row r="38" spans="2:9" x14ac:dyDescent="0.2">
      <c r="B38" s="4">
        <v>0</v>
      </c>
      <c r="C38" s="5">
        <f t="shared" si="4"/>
        <v>0</v>
      </c>
      <c r="E38" t="e">
        <f t="shared" si="5"/>
        <v>#DIV/0!</v>
      </c>
      <c r="F38" s="3">
        <v>0</v>
      </c>
      <c r="G38">
        <v>1.96</v>
      </c>
      <c r="H38" s="6" t="e">
        <f t="shared" si="6"/>
        <v>#DIV/0!</v>
      </c>
      <c r="I38" s="6" t="e">
        <f t="shared" si="7"/>
        <v>#DIV/0!</v>
      </c>
    </row>
    <row r="39" spans="2:9" x14ac:dyDescent="0.2">
      <c r="B39" s="7"/>
      <c r="C39" s="5"/>
      <c r="F39" s="8"/>
      <c r="H39" s="6"/>
      <c r="I39" s="6"/>
    </row>
    <row r="40" spans="2:9" x14ac:dyDescent="0.2">
      <c r="B40" s="7"/>
      <c r="C40" s="5"/>
      <c r="F40" s="8"/>
      <c r="H40" s="6"/>
      <c r="I40" s="6"/>
    </row>
    <row r="41" spans="2:9" x14ac:dyDescent="0.2">
      <c r="B41" s="7"/>
      <c r="C41" s="5"/>
      <c r="F41" s="8"/>
      <c r="H41" s="6"/>
      <c r="I41" s="6"/>
    </row>
    <row r="43" spans="2:9" ht="16" thickBot="1" x14ac:dyDescent="0.25">
      <c r="B43" t="s">
        <v>8</v>
      </c>
      <c r="C43" t="s">
        <v>9</v>
      </c>
      <c r="E43" t="s">
        <v>10</v>
      </c>
      <c r="F43" t="s">
        <v>11</v>
      </c>
      <c r="G43" t="s">
        <v>15</v>
      </c>
      <c r="H43" t="s">
        <v>14</v>
      </c>
      <c r="I43" t="s">
        <v>13</v>
      </c>
    </row>
    <row r="44" spans="2:9" ht="16" thickTop="1" x14ac:dyDescent="0.2">
      <c r="B44" s="2">
        <v>0</v>
      </c>
      <c r="C44" s="5">
        <f>B44/100</f>
        <v>0</v>
      </c>
      <c r="E44" t="e">
        <f>(C44*(1-C44)/F44)^0.5</f>
        <v>#DIV/0!</v>
      </c>
      <c r="F44" s="3">
        <v>0</v>
      </c>
      <c r="G44">
        <v>2.58</v>
      </c>
      <c r="H44" s="6" t="e">
        <f>C44-G44*E44</f>
        <v>#DIV/0!</v>
      </c>
      <c r="I44" s="6" t="e">
        <f>C44+G44*E44</f>
        <v>#DIV/0!</v>
      </c>
    </row>
    <row r="45" spans="2:9" x14ac:dyDescent="0.2">
      <c r="B45" s="4">
        <v>0</v>
      </c>
      <c r="C45" s="5">
        <f t="shared" ref="C45:C49" si="8">B45/100</f>
        <v>0</v>
      </c>
      <c r="E45" t="e">
        <f t="shared" ref="E45:E49" si="9">(C45*(1-C45)/F45)^0.5</f>
        <v>#DIV/0!</v>
      </c>
      <c r="F45" s="3">
        <v>0</v>
      </c>
      <c r="G45">
        <v>2.58</v>
      </c>
      <c r="H45" s="6" t="e">
        <f t="shared" ref="H45:H49" si="10">C45-G45*E45</f>
        <v>#DIV/0!</v>
      </c>
      <c r="I45" s="6" t="e">
        <f t="shared" ref="I45:I49" si="11">C45+G45*E45</f>
        <v>#DIV/0!</v>
      </c>
    </row>
    <row r="46" spans="2:9" x14ac:dyDescent="0.2">
      <c r="B46" s="4">
        <v>0</v>
      </c>
      <c r="C46" s="5">
        <f t="shared" si="8"/>
        <v>0</v>
      </c>
      <c r="E46" t="e">
        <f t="shared" si="9"/>
        <v>#DIV/0!</v>
      </c>
      <c r="F46" s="3">
        <v>0</v>
      </c>
      <c r="G46">
        <v>2.58</v>
      </c>
      <c r="H46" s="6" t="e">
        <f t="shared" si="10"/>
        <v>#DIV/0!</v>
      </c>
      <c r="I46" s="6" t="e">
        <f t="shared" si="11"/>
        <v>#DIV/0!</v>
      </c>
    </row>
    <row r="47" spans="2:9" x14ac:dyDescent="0.2">
      <c r="B47" s="4">
        <v>0</v>
      </c>
      <c r="C47" s="5">
        <f t="shared" si="8"/>
        <v>0</v>
      </c>
      <c r="E47" t="e">
        <f t="shared" si="9"/>
        <v>#DIV/0!</v>
      </c>
      <c r="F47" s="3">
        <v>0</v>
      </c>
      <c r="G47">
        <v>2.58</v>
      </c>
      <c r="H47" s="6" t="e">
        <f t="shared" si="10"/>
        <v>#DIV/0!</v>
      </c>
      <c r="I47" s="6" t="e">
        <f t="shared" si="11"/>
        <v>#DIV/0!</v>
      </c>
    </row>
    <row r="48" spans="2:9" x14ac:dyDescent="0.2">
      <c r="B48" s="4">
        <v>0</v>
      </c>
      <c r="C48" s="5">
        <f t="shared" si="8"/>
        <v>0</v>
      </c>
      <c r="E48" t="e">
        <f t="shared" si="9"/>
        <v>#DIV/0!</v>
      </c>
      <c r="F48" s="3">
        <v>0</v>
      </c>
      <c r="G48">
        <v>2.58</v>
      </c>
      <c r="H48" s="6" t="e">
        <f t="shared" si="10"/>
        <v>#DIV/0!</v>
      </c>
      <c r="I48" s="6" t="e">
        <f t="shared" si="11"/>
        <v>#DIV/0!</v>
      </c>
    </row>
    <row r="49" spans="2:9" x14ac:dyDescent="0.2">
      <c r="B49" s="4">
        <v>0</v>
      </c>
      <c r="C49" s="5">
        <f t="shared" si="8"/>
        <v>0</v>
      </c>
      <c r="E49" t="e">
        <f t="shared" si="9"/>
        <v>#DIV/0!</v>
      </c>
      <c r="F49" s="3">
        <v>0</v>
      </c>
      <c r="G49">
        <v>2.58</v>
      </c>
      <c r="H49" s="6" t="e">
        <f t="shared" si="10"/>
        <v>#DIV/0!</v>
      </c>
      <c r="I49" s="6" t="e">
        <f t="shared" si="11"/>
        <v>#DIV/0!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7B98-B501-424E-87EF-B1E5D527D1B1}">
  <dimension ref="B6:F46"/>
  <sheetViews>
    <sheetView tabSelected="1" workbookViewId="0">
      <selection activeCell="I20" sqref="I20"/>
    </sheetView>
  </sheetViews>
  <sheetFormatPr baseColWidth="10" defaultRowHeight="15" x14ac:dyDescent="0.2"/>
  <sheetData>
    <row r="6" spans="2:5" x14ac:dyDescent="0.2">
      <c r="B6" t="s">
        <v>2</v>
      </c>
    </row>
    <row r="7" spans="2:5" x14ac:dyDescent="0.2">
      <c r="E7" t="s">
        <v>19</v>
      </c>
    </row>
    <row r="8" spans="2:5" x14ac:dyDescent="0.2">
      <c r="B8" t="s">
        <v>20</v>
      </c>
    </row>
    <row r="9" spans="2:5" x14ac:dyDescent="0.2">
      <c r="B9" t="s">
        <v>21</v>
      </c>
    </row>
    <row r="10" spans="2:5" x14ac:dyDescent="0.2">
      <c r="B10" t="s">
        <v>4</v>
      </c>
    </row>
    <row r="11" spans="2:5" x14ac:dyDescent="0.2">
      <c r="B11" t="s">
        <v>5</v>
      </c>
    </row>
    <row r="12" spans="2:5" x14ac:dyDescent="0.2">
      <c r="B12" t="s">
        <v>6</v>
      </c>
    </row>
    <row r="14" spans="2:5" x14ac:dyDescent="0.2">
      <c r="B14" t="s">
        <v>22</v>
      </c>
      <c r="C14" t="s">
        <v>24</v>
      </c>
    </row>
    <row r="18" spans="2:6" ht="16" thickBot="1" x14ac:dyDescent="0.25">
      <c r="B18" t="s">
        <v>23</v>
      </c>
      <c r="C18" t="s">
        <v>10</v>
      </c>
      <c r="D18" t="s">
        <v>16</v>
      </c>
      <c r="E18" t="s">
        <v>14</v>
      </c>
      <c r="F18" t="s">
        <v>13</v>
      </c>
    </row>
    <row r="19" spans="2:6" ht="16" thickTop="1" x14ac:dyDescent="0.2">
      <c r="B19" s="2">
        <v>0</v>
      </c>
      <c r="C19">
        <v>0</v>
      </c>
      <c r="D19">
        <v>1.64</v>
      </c>
      <c r="E19" s="9">
        <f>B19-C19*D19</f>
        <v>0</v>
      </c>
      <c r="F19" s="9">
        <f>B19+C19*D19</f>
        <v>0</v>
      </c>
    </row>
    <row r="20" spans="2:6" x14ac:dyDescent="0.2">
      <c r="B20" s="4">
        <v>0</v>
      </c>
      <c r="C20">
        <v>0</v>
      </c>
      <c r="D20">
        <v>1.64</v>
      </c>
      <c r="E20" s="9">
        <f t="shared" ref="E20:E24" si="0">B20-C20*D20</f>
        <v>0</v>
      </c>
      <c r="F20" s="9">
        <f t="shared" ref="F20:F24" si="1">B20+C20*D20</f>
        <v>0</v>
      </c>
    </row>
    <row r="21" spans="2:6" x14ac:dyDescent="0.2">
      <c r="B21" s="4">
        <v>0</v>
      </c>
      <c r="C21">
        <v>0</v>
      </c>
      <c r="D21">
        <v>1.64</v>
      </c>
      <c r="E21" s="9">
        <f t="shared" si="0"/>
        <v>0</v>
      </c>
      <c r="F21" s="9">
        <f t="shared" si="1"/>
        <v>0</v>
      </c>
    </row>
    <row r="22" spans="2:6" x14ac:dyDescent="0.2">
      <c r="B22" s="4">
        <v>0</v>
      </c>
      <c r="C22">
        <v>0</v>
      </c>
      <c r="D22">
        <v>1.64</v>
      </c>
      <c r="E22" s="9">
        <f t="shared" si="0"/>
        <v>0</v>
      </c>
      <c r="F22" s="9">
        <f t="shared" si="1"/>
        <v>0</v>
      </c>
    </row>
    <row r="23" spans="2:6" x14ac:dyDescent="0.2">
      <c r="B23" s="4">
        <v>0</v>
      </c>
      <c r="C23">
        <v>0</v>
      </c>
      <c r="D23">
        <v>1.64</v>
      </c>
      <c r="E23" s="9">
        <f t="shared" si="0"/>
        <v>0</v>
      </c>
      <c r="F23" s="9">
        <f t="shared" si="1"/>
        <v>0</v>
      </c>
    </row>
    <row r="24" spans="2:6" x14ac:dyDescent="0.2">
      <c r="B24" s="4">
        <v>0</v>
      </c>
      <c r="C24">
        <v>0</v>
      </c>
      <c r="D24">
        <v>1.64</v>
      </c>
      <c r="E24" s="9">
        <f t="shared" si="0"/>
        <v>0</v>
      </c>
      <c r="F24" s="9">
        <f t="shared" si="1"/>
        <v>0</v>
      </c>
    </row>
    <row r="29" spans="2:6" ht="16" thickBot="1" x14ac:dyDescent="0.25">
      <c r="B29" t="s">
        <v>23</v>
      </c>
      <c r="C29" t="s">
        <v>10</v>
      </c>
      <c r="D29" t="s">
        <v>12</v>
      </c>
      <c r="E29" t="s">
        <v>14</v>
      </c>
      <c r="F29" t="s">
        <v>13</v>
      </c>
    </row>
    <row r="30" spans="2:6" ht="16" thickTop="1" x14ac:dyDescent="0.2">
      <c r="B30" s="2">
        <v>0</v>
      </c>
      <c r="C30">
        <v>0</v>
      </c>
      <c r="D30">
        <v>1.96</v>
      </c>
      <c r="E30" s="9">
        <f>B30-C30*D30</f>
        <v>0</v>
      </c>
      <c r="F30" s="9">
        <f>B30+C30*D30</f>
        <v>0</v>
      </c>
    </row>
    <row r="31" spans="2:6" x14ac:dyDescent="0.2">
      <c r="B31" s="4">
        <v>0</v>
      </c>
      <c r="C31">
        <v>0</v>
      </c>
      <c r="D31">
        <v>1.96</v>
      </c>
      <c r="E31" s="9">
        <f t="shared" ref="E31:E35" si="2">B31-C31*D31</f>
        <v>0</v>
      </c>
      <c r="F31" s="9">
        <f t="shared" ref="F31:F35" si="3">B31+C31*D31</f>
        <v>0</v>
      </c>
    </row>
    <row r="32" spans="2:6" x14ac:dyDescent="0.2">
      <c r="B32" s="4">
        <v>0</v>
      </c>
      <c r="C32">
        <v>0</v>
      </c>
      <c r="D32">
        <v>1.96</v>
      </c>
      <c r="E32" s="9">
        <f t="shared" si="2"/>
        <v>0</v>
      </c>
      <c r="F32" s="9">
        <f t="shared" si="3"/>
        <v>0</v>
      </c>
    </row>
    <row r="33" spans="2:6" x14ac:dyDescent="0.2">
      <c r="B33" s="4">
        <v>0</v>
      </c>
      <c r="C33">
        <v>0</v>
      </c>
      <c r="D33">
        <v>1.96</v>
      </c>
      <c r="E33" s="9">
        <f t="shared" si="2"/>
        <v>0</v>
      </c>
      <c r="F33" s="9">
        <f t="shared" si="3"/>
        <v>0</v>
      </c>
    </row>
    <row r="34" spans="2:6" x14ac:dyDescent="0.2">
      <c r="B34" s="4">
        <v>0</v>
      </c>
      <c r="C34">
        <v>0</v>
      </c>
      <c r="D34">
        <v>1.96</v>
      </c>
      <c r="E34" s="9">
        <f t="shared" si="2"/>
        <v>0</v>
      </c>
      <c r="F34" s="9">
        <f t="shared" si="3"/>
        <v>0</v>
      </c>
    </row>
    <row r="35" spans="2:6" x14ac:dyDescent="0.2">
      <c r="B35" s="4">
        <v>0</v>
      </c>
      <c r="C35">
        <v>0</v>
      </c>
      <c r="D35">
        <v>1.96</v>
      </c>
      <c r="E35" s="9">
        <f t="shared" si="2"/>
        <v>0</v>
      </c>
      <c r="F35" s="9">
        <f t="shared" si="3"/>
        <v>0</v>
      </c>
    </row>
    <row r="36" spans="2:6" x14ac:dyDescent="0.2">
      <c r="B36" s="7"/>
      <c r="E36" s="6"/>
      <c r="F36" s="6"/>
    </row>
    <row r="37" spans="2:6" x14ac:dyDescent="0.2">
      <c r="B37" s="7"/>
      <c r="E37" s="6"/>
      <c r="F37" s="6"/>
    </row>
    <row r="38" spans="2:6" x14ac:dyDescent="0.2">
      <c r="B38" s="7"/>
      <c r="E38" s="6"/>
      <c r="F38" s="6"/>
    </row>
    <row r="40" spans="2:6" x14ac:dyDescent="0.2">
      <c r="B40" t="s">
        <v>23</v>
      </c>
      <c r="C40" t="s">
        <v>10</v>
      </c>
      <c r="D40" t="s">
        <v>15</v>
      </c>
      <c r="E40" t="s">
        <v>14</v>
      </c>
      <c r="F40" t="s">
        <v>13</v>
      </c>
    </row>
    <row r="41" spans="2:6" x14ac:dyDescent="0.2">
      <c r="B41" s="4">
        <v>0</v>
      </c>
      <c r="C41">
        <v>0</v>
      </c>
      <c r="D41">
        <v>2.58</v>
      </c>
      <c r="E41" s="9">
        <f>B41-C41*D41</f>
        <v>0</v>
      </c>
      <c r="F41" s="9">
        <f>B41+C41*D41</f>
        <v>0</v>
      </c>
    </row>
    <row r="42" spans="2:6" x14ac:dyDescent="0.2">
      <c r="B42" s="4">
        <v>0</v>
      </c>
      <c r="C42">
        <v>0</v>
      </c>
      <c r="D42">
        <v>2.58</v>
      </c>
      <c r="E42" s="9">
        <f t="shared" ref="E42:E46" si="4">B42-C42*D42</f>
        <v>0</v>
      </c>
      <c r="F42" s="9">
        <f t="shared" ref="F42:F46" si="5">B42+C42*D42</f>
        <v>0</v>
      </c>
    </row>
    <row r="43" spans="2:6" x14ac:dyDescent="0.2">
      <c r="B43" s="4">
        <v>0</v>
      </c>
      <c r="C43">
        <v>0</v>
      </c>
      <c r="D43">
        <v>2.58</v>
      </c>
      <c r="E43" s="9">
        <f t="shared" si="4"/>
        <v>0</v>
      </c>
      <c r="F43" s="9">
        <f t="shared" si="5"/>
        <v>0</v>
      </c>
    </row>
    <row r="44" spans="2:6" x14ac:dyDescent="0.2">
      <c r="B44" s="4">
        <v>0</v>
      </c>
      <c r="C44">
        <v>0</v>
      </c>
      <c r="D44">
        <v>2.58</v>
      </c>
      <c r="E44" s="9">
        <f t="shared" si="4"/>
        <v>0</v>
      </c>
      <c r="F44" s="9">
        <f t="shared" si="5"/>
        <v>0</v>
      </c>
    </row>
    <row r="45" spans="2:6" x14ac:dyDescent="0.2">
      <c r="B45" s="4">
        <v>0</v>
      </c>
      <c r="C45">
        <v>0</v>
      </c>
      <c r="D45">
        <v>2.58</v>
      </c>
      <c r="E45" s="9">
        <f t="shared" si="4"/>
        <v>0</v>
      </c>
      <c r="F45" s="9">
        <f t="shared" si="5"/>
        <v>0</v>
      </c>
    </row>
    <row r="46" spans="2:6" x14ac:dyDescent="0.2">
      <c r="B46" s="4">
        <v>0</v>
      </c>
      <c r="C46">
        <v>0</v>
      </c>
      <c r="D46">
        <v>2.58</v>
      </c>
      <c r="E46" s="9">
        <f t="shared" si="4"/>
        <v>0</v>
      </c>
      <c r="F46" s="9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 для доли</vt:lpstr>
      <vt:lpstr>ДИ для среднего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vladg</dc:creator>
  <cp:lastModifiedBy>Кузьмичева Арина Дмитриевна</cp:lastModifiedBy>
  <dcterms:created xsi:type="dcterms:W3CDTF">2018-01-25T09:22:24Z</dcterms:created>
  <dcterms:modified xsi:type="dcterms:W3CDTF">2025-11-29T16:46:12Z</dcterms:modified>
</cp:coreProperties>
</file>